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cket" sheetId="1" r:id="rId1"/>
    <sheet name="feedbacks" sheetId="2" r:id="rId2"/>
  </sheets>
  <calcPr calcId="124519" fullCalcOnLoad="1"/>
</workbook>
</file>

<file path=xl/sharedStrings.xml><?xml version="1.0" encoding="utf-8"?>
<sst xmlns="http://schemas.openxmlformats.org/spreadsheetml/2006/main" count="40" uniqueCount="33">
  <si>
    <t>ticket_id</t>
  </si>
  <si>
    <t>created_at</t>
  </si>
  <si>
    <t>closed_at</t>
  </si>
  <si>
    <t>outlet_id</t>
  </si>
  <si>
    <t>cms_id</t>
  </si>
  <si>
    <t>isu-sjd-457</t>
  </si>
  <si>
    <t>qer-fal-092</t>
  </si>
  <si>
    <t>tkt-123</t>
  </si>
  <si>
    <t>tkt-124</t>
  </si>
  <si>
    <t>2021-08-19 16:45:43</t>
  </si>
  <si>
    <t>2021-08-21 11:09:22</t>
  </si>
  <si>
    <t>2021-08-21 14:00:00</t>
  </si>
  <si>
    <t>2021-08-22 09:15:00</t>
  </si>
  <si>
    <t>2021-08-22 12:33:32</t>
  </si>
  <si>
    <t>2021-08-21 17:13:45</t>
  </si>
  <si>
    <t>2021-08-21 14:30:00</t>
  </si>
  <si>
    <t>2021-08-22 09:45:00</t>
  </si>
  <si>
    <t>wrqy-juv-978</t>
  </si>
  <si>
    <t>8woh-k3u-23b</t>
  </si>
  <si>
    <t>vew-iuvd-12</t>
  </si>
  <si>
    <t>-</t>
  </si>
  <si>
    <t>xyz</t>
  </si>
  <si>
    <t>abc</t>
  </si>
  <si>
    <t>feedback_at</t>
  </si>
  <si>
    <t>feedback_rating</t>
  </si>
  <si>
    <t>2021-08-21 13:26:48</t>
  </si>
  <si>
    <t>2021-08-21 15:00:00</t>
  </si>
  <si>
    <t>ticket_created_at</t>
  </si>
  <si>
    <t>Same Day</t>
  </si>
  <si>
    <t>Same Hour</t>
  </si>
  <si>
    <t>Outlet ID</t>
  </si>
  <si>
    <t>Tickets Closed Same Day</t>
  </si>
  <si>
    <t>Tickets Closed Same Hour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</si>
</sst>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28</v>
      </c>
      <c r="G1" t="s">
        <v>29</v>
      </c>
      <c r="I1" t="s">
        <v>30</v>
      </c>
      <c r="J1" t="s">
        <v>31</v>
      </c>
      <c r="K1" t="s">
        <v>32</v>
      </c>
    </row>
    <row r="2" spans="1:11">
      <c r="A2" t="s">
        <v>5</v>
      </c>
      <c r="B2" t="s">
        <v>9</v>
      </c>
      <c r="C2" t="s">
        <v>13</v>
      </c>
      <c r="D2" t="s">
        <v>17</v>
      </c>
      <c r="E2" t="s">
        <v>19</v>
      </c>
      <c r="F2">
        <f>INT(B2)=INT(C2)</f>
        <v>0</v>
      </c>
      <c r="G2">
        <f>AND(INT(B2)=INT(C2), HOUR(B2)=HOUR(C2))</f>
        <v>0</v>
      </c>
      <c r="I2" t="s">
        <v>17</v>
      </c>
      <c r="J2">
        <f>COUNTIFS(D:D, I2, F:F, TRUE)</f>
        <v>0</v>
      </c>
      <c r="K2">
        <f>COUNTIFS(D:D, I2, G:G, TRUE)</f>
        <v>0</v>
      </c>
    </row>
    <row r="3" spans="1:11">
      <c r="A3" t="s">
        <v>6</v>
      </c>
      <c r="B3" t="s">
        <v>10</v>
      </c>
      <c r="C3" t="s">
        <v>14</v>
      </c>
      <c r="D3" t="s">
        <v>18</v>
      </c>
      <c r="E3" t="s">
        <v>20</v>
      </c>
      <c r="F3">
        <f>INT(B3)=INT(C3)</f>
        <v>0</v>
      </c>
      <c r="G3">
        <f>AND(INT(B3)=INT(C3), HOUR(B3)=HOUR(C3))</f>
        <v>0</v>
      </c>
      <c r="I3" t="s">
        <v>18</v>
      </c>
      <c r="J3">
        <f>COUNTIFS(D:D, I3, F:F, TRUE)</f>
        <v>0</v>
      </c>
      <c r="K3">
        <f>COUNTIFS(D:D, I3, G:G, TRUE)</f>
        <v>0</v>
      </c>
    </row>
    <row r="4" spans="1:11">
      <c r="A4" t="s">
        <v>7</v>
      </c>
      <c r="B4" t="s">
        <v>11</v>
      </c>
      <c r="C4" t="s">
        <v>15</v>
      </c>
      <c r="D4" t="s">
        <v>17</v>
      </c>
      <c r="E4" t="s">
        <v>21</v>
      </c>
      <c r="F4">
        <f>INT(B4)=INT(C4)</f>
        <v>0</v>
      </c>
      <c r="G4">
        <f>AND(INT(B4)=INT(C4), HOUR(B4)=HOUR(C4))</f>
        <v>0</v>
      </c>
    </row>
    <row r="5" spans="1:11">
      <c r="A5" t="s">
        <v>8</v>
      </c>
      <c r="B5" t="s">
        <v>12</v>
      </c>
      <c r="C5" t="s">
        <v>16</v>
      </c>
      <c r="D5" t="s">
        <v>18</v>
      </c>
      <c r="E5" t="s">
        <v>22</v>
      </c>
      <c r="F5">
        <f>INT(B5)=INT(C5)</f>
        <v>0</v>
      </c>
      <c r="G5">
        <f>AND(INT(B5)=INT(C5), HOUR(B5)=HOUR(C5))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t="s">
        <v>4</v>
      </c>
      <c r="B1" t="s">
        <v>23</v>
      </c>
      <c r="C1" t="s">
        <v>24</v>
      </c>
      <c r="D1" t="s">
        <v>27</v>
      </c>
    </row>
    <row r="2" spans="1:4">
      <c r="A2" t="s">
        <v>19</v>
      </c>
      <c r="B2" t="s">
        <v>25</v>
      </c>
      <c r="C2">
        <v>3</v>
      </c>
      <c r="D2">
        <f>VLOOKUP(A2, ticket!E:B, 4, FALSE)</f>
        <v>0</v>
      </c>
    </row>
    <row r="3" spans="1:4">
      <c r="A3" t="s">
        <v>21</v>
      </c>
      <c r="B3" t="s">
        <v>26</v>
      </c>
      <c r="C3">
        <v>5</v>
      </c>
      <c r="D3">
        <f>VLOOKUP(A3, ticket!E:B, 4, FALSE)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ticket</vt:lpstr>
      <vt:lpstr>feedbacks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2026-04-09T08:41:30Z</dcterms:created>
  <dcterms:modified xsi:type="dcterms:W3CDTF">2026-04-09T08:41:30Z</dcterms:modified>
</cp:coreProperties>
</file>